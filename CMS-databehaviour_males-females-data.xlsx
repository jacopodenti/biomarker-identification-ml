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/Users/paola/Desktop/"/>
    </mc:Choice>
  </mc:AlternateContent>
  <xr:revisionPtr revIDLastSave="0" documentId="8_{4BE506C8-BC83-449E-861C-0250791D0EBF}" xr6:coauthVersionLast="47" xr6:coauthVersionMax="47" xr10:uidLastSave="{00000000-0000-0000-0000-000000000000}"/>
  <bookViews>
    <workbookView xWindow="9240" yWindow="960" windowWidth="33220" windowHeight="19280" firstSheet="1" activeTab="1" xr2:uid="{83E6E342-4CB3-9A45-9827-4D22F85BD4D8}"/>
  </bookViews>
  <sheets>
    <sheet name="maschi" sheetId="1" r:id="rId1"/>
    <sheet name="femmine" sheetId="2" r:id="rId2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2" l="1"/>
  <c r="P27" i="2"/>
  <c r="P26" i="2"/>
  <c r="P25" i="2"/>
  <c r="P24" i="2"/>
  <c r="P23" i="2"/>
  <c r="P22" i="2"/>
  <c r="P21" i="2"/>
  <c r="P20" i="2"/>
  <c r="P19" i="2"/>
  <c r="Q19" i="2" s="1"/>
  <c r="Q18" i="2"/>
  <c r="P17" i="2"/>
  <c r="Q17" i="2" s="1"/>
  <c r="P16" i="2"/>
  <c r="Q16" i="2" s="1"/>
  <c r="P15" i="2"/>
  <c r="P14" i="2"/>
  <c r="P13" i="2"/>
  <c r="P12" i="2"/>
  <c r="P11" i="2"/>
  <c r="P10" i="2"/>
  <c r="P9" i="2"/>
  <c r="P8" i="2"/>
  <c r="P7" i="2"/>
  <c r="Q7" i="2" s="1"/>
  <c r="P6" i="2"/>
  <c r="Q6" i="2" s="1"/>
  <c r="P5" i="2"/>
  <c r="Q5" i="2" s="1"/>
  <c r="P4" i="2"/>
  <c r="Q4" i="2" s="1"/>
  <c r="P5" i="1"/>
  <c r="P6" i="1"/>
  <c r="Q6" i="1" s="1"/>
  <c r="P7" i="1"/>
  <c r="P8" i="1"/>
  <c r="Q8" i="1" s="1"/>
  <c r="P9" i="1"/>
  <c r="Q9" i="1" s="1"/>
  <c r="P10" i="1"/>
  <c r="P11" i="1"/>
  <c r="P12" i="1"/>
  <c r="P13" i="1"/>
  <c r="P14" i="1"/>
  <c r="P15" i="1"/>
  <c r="P16" i="1"/>
  <c r="Q16" i="1" s="1"/>
  <c r="P17" i="1"/>
  <c r="P18" i="1"/>
  <c r="Q18" i="1" s="1"/>
  <c r="P19" i="1"/>
  <c r="P20" i="1"/>
  <c r="P21" i="1"/>
  <c r="P22" i="1"/>
  <c r="P23" i="1"/>
  <c r="P24" i="1"/>
  <c r="P25" i="1"/>
  <c r="Q25" i="1" s="1"/>
  <c r="P26" i="1"/>
  <c r="Q26" i="1" s="1"/>
  <c r="P27" i="1"/>
  <c r="P4" i="1"/>
  <c r="Q5" i="1"/>
  <c r="M4" i="1"/>
  <c r="M26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Q7" i="1"/>
  <c r="Q10" i="1"/>
  <c r="Q11" i="1"/>
  <c r="Q12" i="1"/>
  <c r="Q13" i="1"/>
  <c r="Q14" i="1"/>
  <c r="Q15" i="1"/>
  <c r="Q17" i="1"/>
  <c r="Q19" i="1"/>
  <c r="Q20" i="1"/>
  <c r="Q21" i="1"/>
  <c r="Q22" i="1"/>
  <c r="Q23" i="1"/>
  <c r="Q24" i="1"/>
  <c r="Q27" i="1"/>
  <c r="Q4" i="1"/>
  <c r="Q8" i="2"/>
  <c r="Q9" i="2"/>
  <c r="Q10" i="2"/>
  <c r="Q11" i="2"/>
  <c r="Q12" i="2"/>
  <c r="Q13" i="2"/>
  <c r="Q14" i="2"/>
  <c r="Q15" i="2"/>
  <c r="Q20" i="2"/>
  <c r="Q21" i="2"/>
  <c r="Q22" i="2"/>
  <c r="Q23" i="2"/>
  <c r="Q24" i="2"/>
  <c r="Q25" i="2"/>
  <c r="Q26" i="2"/>
  <c r="Q27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4" i="2"/>
</calcChain>
</file>

<file path=xl/sharedStrings.xml><?xml version="1.0" encoding="utf-8"?>
<sst xmlns="http://schemas.openxmlformats.org/spreadsheetml/2006/main" count="44" uniqueCount="22">
  <si>
    <t>ratti maschi adulti</t>
  </si>
  <si>
    <t>experimental groups</t>
  </si>
  <si>
    <t>stress</t>
  </si>
  <si>
    <t>ID animals</t>
  </si>
  <si>
    <t>body weight</t>
  </si>
  <si>
    <t>sucrose intake</t>
  </si>
  <si>
    <t>NOR index</t>
  </si>
  <si>
    <t>locomotor activity</t>
  </si>
  <si>
    <t>social interaction time</t>
  </si>
  <si>
    <t>social events</t>
  </si>
  <si>
    <t>0P (entries)</t>
  </si>
  <si>
    <t>CL (entries)</t>
  </si>
  <si>
    <t>% OP</t>
  </si>
  <si>
    <t>tOP</t>
  </si>
  <si>
    <t>tCL</t>
  </si>
  <si>
    <t>tCENT</t>
  </si>
  <si>
    <t>t%OP</t>
  </si>
  <si>
    <t>no stress</t>
  </si>
  <si>
    <t>CMS (stress cronico)</t>
  </si>
  <si>
    <t>vulnerabili</t>
  </si>
  <si>
    <t>resilienti</t>
  </si>
  <si>
    <t>ratti femmine adulti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</si>
</sst>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sz val="11"/>
      <color theme="1"/>
      <name val="Czcionka tekstu podstawowego"/>
      <family val="2"/>
      <charset val="238"/>
    </font>
    <font>
      <sz val="10"/>
      <name val="Arial"/>
      <family val="2"/>
      <charset val="238"/>
    </font>
    <font>
      <sz val="12"/>
      <color theme="1"/>
      <name val="Aptos"/>
    </font>
    <font>
      <sz val="12"/>
      <name val="Aptos"/>
    </font>
    <font>
      <b/>
      <sz val="12"/>
      <color theme="1"/>
      <name val="Aptos"/>
    </font>
    <font>
      <b/>
      <sz val="12"/>
      <name val="Apto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2" fontId="4" fillId="0" borderId="0" xfId="2" applyNumberFormat="1" applyFont="1" applyAlignment="1">
      <alignment horizontal="center"/>
    </xf>
    <xf numFmtId="1" fontId="4" fillId="0" borderId="0" xfId="2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1" fontId="3" fillId="0" borderId="3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2" fontId="4" fillId="0" borderId="3" xfId="2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" fontId="6" fillId="0" borderId="1" xfId="2" applyNumberFormat="1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1" fontId="4" fillId="0" borderId="12" xfId="2" applyNumberFormat="1" applyFont="1" applyBorder="1" applyAlignment="1">
      <alignment horizontal="center"/>
    </xf>
    <xf numFmtId="1" fontId="4" fillId="0" borderId="14" xfId="2" applyNumberFormat="1" applyFont="1" applyBorder="1" applyAlignment="1">
      <alignment horizontal="center"/>
    </xf>
    <xf numFmtId="1" fontId="4" fillId="0" borderId="13" xfId="2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">
    <cellStyle name="Normale" xfId="0" builtinId="0"/>
    <cellStyle name="Normalny 2 2 2 2" xfId="2" xr:uid="{5A55402B-1A28-4349-B329-4725971FDFA5}"/>
    <cellStyle name="Normalny 2 2 3 2 2 2" xfId="1" xr:uid="{FB6A5A22-1E0F-444B-9E82-EFA6101ED128}"/>
    <cellStyle name="Normalny_CMS23ORIONfin 2" xfId="3" xr:uid="{9565C9E4-31C7-4A4F-ADEC-A2DA49AA6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7A48-050C-3F4A-ACE6-C2CD78788094}">
  <dimension ref="A1:Q27"/>
  <sheetViews>
    <sheetView zoomScale="90" zoomScaleNormal="90" workbookViewId="0">
      <selection activeCell="C1" sqref="C1:C1048576"/>
    </sheetView>
  </sheetViews>
  <sheetFormatPr defaultColWidth="10.875" defaultRowHeight="15.75" customHeight="1"/>
  <cols>
    <col min="1" max="1" width="20.5" style="2" bestFit="1" customWidth="1"/>
    <col min="2" max="3" width="10.875" style="2"/>
    <col min="4" max="4" width="10.875" style="1"/>
    <col min="5" max="5" width="12" style="3" bestFit="1" customWidth="1"/>
    <col min="6" max="6" width="14.875" style="2" bestFit="1" customWidth="1"/>
    <col min="7" max="7" width="10.875" style="2"/>
    <col min="8" max="8" width="17.375" style="2" bestFit="1" customWidth="1"/>
    <col min="9" max="9" width="21.375" style="2" bestFit="1" customWidth="1"/>
    <col min="10" max="10" width="12.875" style="2" bestFit="1" customWidth="1"/>
    <col min="11" max="12" width="12.875" style="2" customWidth="1"/>
    <col min="13" max="16384" width="10.875" style="2"/>
  </cols>
  <sheetData>
    <row r="1" spans="1:17">
      <c r="A1" s="28" t="s">
        <v>0</v>
      </c>
    </row>
    <row r="2" spans="1:17" s="1" customFormat="1"/>
    <row r="3" spans="1:17" s="1" customFormat="1">
      <c r="A3" s="39" t="s">
        <v>1</v>
      </c>
      <c r="B3" s="39"/>
      <c r="C3" s="20" t="s">
        <v>2</v>
      </c>
      <c r="D3" s="20" t="s">
        <v>3</v>
      </c>
      <c r="E3" s="25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</row>
    <row r="4" spans="1:17">
      <c r="A4" s="44" t="s">
        <v>17</v>
      </c>
      <c r="B4" s="40" t="s">
        <v>17</v>
      </c>
      <c r="C4" s="35">
        <v>0</v>
      </c>
      <c r="D4" s="21">
        <v>9</v>
      </c>
      <c r="E4" s="4">
        <v>395</v>
      </c>
      <c r="F4" s="3">
        <v>12.52</v>
      </c>
      <c r="G4" s="5">
        <v>0.3559322033898305</v>
      </c>
      <c r="H4" s="6">
        <v>119</v>
      </c>
      <c r="I4" s="6">
        <v>127</v>
      </c>
      <c r="J4" s="6">
        <v>33</v>
      </c>
      <c r="K4" s="6">
        <v>7</v>
      </c>
      <c r="L4" s="6">
        <v>4</v>
      </c>
      <c r="M4" s="6">
        <f>K4/(L4+K4)*100</f>
        <v>63.636363636363633</v>
      </c>
      <c r="N4" s="6">
        <v>160</v>
      </c>
      <c r="O4" s="6">
        <v>67</v>
      </c>
      <c r="P4" s="6">
        <f>300-N4-O4</f>
        <v>73</v>
      </c>
      <c r="Q4" s="6">
        <f>N4/(N4+O4+P4)*100</f>
        <v>53.333333333333336</v>
      </c>
    </row>
    <row r="5" spans="1:17">
      <c r="A5" s="44"/>
      <c r="B5" s="40"/>
      <c r="C5" s="35">
        <v>0</v>
      </c>
      <c r="D5" s="21">
        <v>10</v>
      </c>
      <c r="E5" s="4">
        <v>388</v>
      </c>
      <c r="F5" s="3">
        <v>10.44</v>
      </c>
      <c r="G5" s="5">
        <v>0.42857142857142855</v>
      </c>
      <c r="H5" s="6">
        <v>185</v>
      </c>
      <c r="I5" s="6">
        <v>160</v>
      </c>
      <c r="J5" s="6">
        <v>34</v>
      </c>
      <c r="K5" s="6">
        <v>4</v>
      </c>
      <c r="L5" s="6">
        <v>7</v>
      </c>
      <c r="M5" s="6">
        <f t="shared" ref="M5:M27" si="0">K5/(L5+K5)*100</f>
        <v>36.363636363636367</v>
      </c>
      <c r="N5" s="6">
        <v>58</v>
      </c>
      <c r="O5" s="6">
        <v>170</v>
      </c>
      <c r="P5" s="6">
        <f t="shared" ref="P5:P27" si="1">300-N5-O5</f>
        <v>72</v>
      </c>
      <c r="Q5" s="6">
        <f>N5/(N5+O5+P5)*100</f>
        <v>19.333333333333332</v>
      </c>
    </row>
    <row r="6" spans="1:17">
      <c r="A6" s="44"/>
      <c r="B6" s="40"/>
      <c r="C6" s="35">
        <v>0</v>
      </c>
      <c r="D6" s="21">
        <v>11</v>
      </c>
      <c r="E6" s="4">
        <v>387</v>
      </c>
      <c r="F6" s="3">
        <v>16.32</v>
      </c>
      <c r="G6" s="5">
        <v>0.52380952380952384</v>
      </c>
      <c r="H6" s="6">
        <v>156</v>
      </c>
      <c r="I6" s="6">
        <v>114</v>
      </c>
      <c r="J6" s="6">
        <v>26</v>
      </c>
      <c r="K6" s="6">
        <v>10</v>
      </c>
      <c r="L6" s="6">
        <v>6</v>
      </c>
      <c r="M6" s="6">
        <f t="shared" si="0"/>
        <v>62.5</v>
      </c>
      <c r="N6" s="6">
        <v>156</v>
      </c>
      <c r="O6" s="6">
        <v>65</v>
      </c>
      <c r="P6" s="6">
        <f t="shared" si="1"/>
        <v>79</v>
      </c>
      <c r="Q6" s="6">
        <f t="shared" ref="Q5:Q27" si="2">N6/(N6+O6+P6)*100</f>
        <v>52</v>
      </c>
    </row>
    <row r="7" spans="1:17">
      <c r="A7" s="44"/>
      <c r="B7" s="40"/>
      <c r="C7" s="35">
        <v>0</v>
      </c>
      <c r="D7" s="21">
        <v>12</v>
      </c>
      <c r="E7" s="4">
        <v>393</v>
      </c>
      <c r="F7" s="3">
        <v>21.14</v>
      </c>
      <c r="G7" s="5">
        <v>0.28000000000000003</v>
      </c>
      <c r="H7" s="6">
        <v>89</v>
      </c>
      <c r="I7" s="6">
        <v>137</v>
      </c>
      <c r="J7" s="6">
        <v>32</v>
      </c>
      <c r="K7" s="6">
        <v>5</v>
      </c>
      <c r="L7" s="6">
        <v>9</v>
      </c>
      <c r="M7" s="6">
        <f t="shared" si="0"/>
        <v>35.714285714285715</v>
      </c>
      <c r="N7" s="6">
        <v>108</v>
      </c>
      <c r="O7" s="6">
        <v>121</v>
      </c>
      <c r="P7" s="6">
        <f t="shared" si="1"/>
        <v>71</v>
      </c>
      <c r="Q7" s="6">
        <f t="shared" si="2"/>
        <v>36</v>
      </c>
    </row>
    <row r="8" spans="1:17">
      <c r="A8" s="44"/>
      <c r="B8" s="40"/>
      <c r="C8" s="35">
        <v>0</v>
      </c>
      <c r="D8" s="21">
        <v>13</v>
      </c>
      <c r="E8" s="4">
        <v>346</v>
      </c>
      <c r="F8" s="3">
        <v>11.44</v>
      </c>
      <c r="G8" s="5">
        <v>0.39726027397260272</v>
      </c>
      <c r="H8" s="6">
        <v>94</v>
      </c>
      <c r="I8" s="6">
        <v>87</v>
      </c>
      <c r="J8" s="6">
        <v>25</v>
      </c>
      <c r="K8" s="6">
        <v>6</v>
      </c>
      <c r="L8" s="6">
        <v>8</v>
      </c>
      <c r="M8" s="6">
        <f t="shared" si="0"/>
        <v>42.857142857142854</v>
      </c>
      <c r="N8" s="6">
        <v>130</v>
      </c>
      <c r="O8" s="6">
        <v>109</v>
      </c>
      <c r="P8" s="6">
        <f t="shared" si="1"/>
        <v>61</v>
      </c>
      <c r="Q8" s="6">
        <f t="shared" si="2"/>
        <v>43.333333333333336</v>
      </c>
    </row>
    <row r="9" spans="1:17">
      <c r="A9" s="44"/>
      <c r="B9" s="40"/>
      <c r="C9" s="35">
        <v>0</v>
      </c>
      <c r="D9" s="21">
        <v>14</v>
      </c>
      <c r="E9" s="4">
        <v>357</v>
      </c>
      <c r="F9" s="3">
        <v>13.75</v>
      </c>
      <c r="G9" s="5">
        <v>0.1891891891891892</v>
      </c>
      <c r="H9" s="6">
        <v>91</v>
      </c>
      <c r="I9" s="6">
        <v>131</v>
      </c>
      <c r="J9" s="6">
        <v>32</v>
      </c>
      <c r="K9" s="6">
        <v>8</v>
      </c>
      <c r="L9" s="6">
        <v>5</v>
      </c>
      <c r="M9" s="6">
        <f t="shared" si="0"/>
        <v>61.53846153846154</v>
      </c>
      <c r="N9" s="6">
        <v>129</v>
      </c>
      <c r="O9" s="6">
        <v>115</v>
      </c>
      <c r="P9" s="6">
        <f t="shared" si="1"/>
        <v>56</v>
      </c>
      <c r="Q9" s="6">
        <f t="shared" si="2"/>
        <v>43</v>
      </c>
    </row>
    <row r="10" spans="1:17">
      <c r="A10" s="44"/>
      <c r="B10" s="40"/>
      <c r="C10" s="35">
        <v>0</v>
      </c>
      <c r="D10" s="21">
        <v>15</v>
      </c>
      <c r="E10" s="4">
        <v>349</v>
      </c>
      <c r="F10" s="3">
        <v>12.71</v>
      </c>
      <c r="G10" s="5">
        <v>0.37313432835820898</v>
      </c>
      <c r="H10" s="6">
        <v>101</v>
      </c>
      <c r="I10" s="6">
        <v>174</v>
      </c>
      <c r="J10" s="6">
        <v>33</v>
      </c>
      <c r="K10" s="6">
        <v>6</v>
      </c>
      <c r="L10" s="6">
        <v>5</v>
      </c>
      <c r="M10" s="6">
        <f t="shared" si="0"/>
        <v>54.54545454545454</v>
      </c>
      <c r="N10" s="6">
        <v>103</v>
      </c>
      <c r="O10" s="6">
        <v>139</v>
      </c>
      <c r="P10" s="6">
        <f t="shared" si="1"/>
        <v>58</v>
      </c>
      <c r="Q10" s="6">
        <f t="shared" si="2"/>
        <v>34.333333333333336</v>
      </c>
    </row>
    <row r="11" spans="1:17">
      <c r="A11" s="45"/>
      <c r="B11" s="41"/>
      <c r="C11" s="36">
        <v>0</v>
      </c>
      <c r="D11" s="22">
        <v>16</v>
      </c>
      <c r="E11" s="8">
        <v>346</v>
      </c>
      <c r="F11" s="9">
        <v>23.54</v>
      </c>
      <c r="G11" s="10">
        <v>0.54545454545454541</v>
      </c>
      <c r="H11" s="11">
        <v>89</v>
      </c>
      <c r="I11" s="11">
        <v>193</v>
      </c>
      <c r="J11" s="11">
        <v>21</v>
      </c>
      <c r="K11" s="11">
        <v>9</v>
      </c>
      <c r="L11" s="11">
        <v>4</v>
      </c>
      <c r="M11" s="11">
        <f t="shared" si="0"/>
        <v>69.230769230769226</v>
      </c>
      <c r="N11" s="11">
        <v>183</v>
      </c>
      <c r="O11" s="11">
        <v>70</v>
      </c>
      <c r="P11" s="6">
        <f t="shared" si="1"/>
        <v>47</v>
      </c>
      <c r="Q11" s="11">
        <f t="shared" si="2"/>
        <v>61</v>
      </c>
    </row>
    <row r="12" spans="1:17">
      <c r="A12" s="46" t="s">
        <v>18</v>
      </c>
      <c r="B12" s="42" t="s">
        <v>19</v>
      </c>
      <c r="C12" s="37">
        <v>1</v>
      </c>
      <c r="D12" s="23">
        <v>25</v>
      </c>
      <c r="E12" s="12">
        <v>351</v>
      </c>
      <c r="F12" s="13">
        <v>7.58</v>
      </c>
      <c r="G12" s="14">
        <v>0.16666666666666666</v>
      </c>
      <c r="H12" s="15">
        <v>78</v>
      </c>
      <c r="I12" s="15">
        <v>88</v>
      </c>
      <c r="J12" s="15">
        <v>25</v>
      </c>
      <c r="K12" s="15">
        <v>5</v>
      </c>
      <c r="L12" s="15">
        <v>4</v>
      </c>
      <c r="M12" s="6">
        <f t="shared" si="0"/>
        <v>55.555555555555557</v>
      </c>
      <c r="N12" s="15">
        <v>109</v>
      </c>
      <c r="O12" s="15">
        <v>88</v>
      </c>
      <c r="P12" s="6">
        <f t="shared" si="1"/>
        <v>103</v>
      </c>
      <c r="Q12" s="6">
        <f t="shared" si="2"/>
        <v>36.333333333333336</v>
      </c>
    </row>
    <row r="13" spans="1:17">
      <c r="A13" s="44"/>
      <c r="B13" s="40"/>
      <c r="C13" s="35">
        <v>1</v>
      </c>
      <c r="D13" s="21">
        <v>26</v>
      </c>
      <c r="E13" s="4">
        <v>395</v>
      </c>
      <c r="F13" s="3">
        <v>3.75</v>
      </c>
      <c r="G13" s="5">
        <v>-0.24528301886792453</v>
      </c>
      <c r="H13" s="6">
        <v>68</v>
      </c>
      <c r="I13" s="6">
        <v>65</v>
      </c>
      <c r="J13" s="6">
        <v>19</v>
      </c>
      <c r="K13" s="6">
        <v>2</v>
      </c>
      <c r="L13" s="6">
        <v>6</v>
      </c>
      <c r="M13" s="6">
        <f t="shared" si="0"/>
        <v>25</v>
      </c>
      <c r="N13" s="6">
        <v>17</v>
      </c>
      <c r="O13" s="6">
        <v>151</v>
      </c>
      <c r="P13" s="6">
        <f t="shared" si="1"/>
        <v>132</v>
      </c>
      <c r="Q13" s="6">
        <f t="shared" si="2"/>
        <v>5.6666666666666661</v>
      </c>
    </row>
    <row r="14" spans="1:17">
      <c r="A14" s="44"/>
      <c r="B14" s="40"/>
      <c r="C14" s="35">
        <v>1</v>
      </c>
      <c r="D14" s="21">
        <v>27</v>
      </c>
      <c r="E14" s="4">
        <v>395</v>
      </c>
      <c r="F14" s="3">
        <v>4.0999999999999996</v>
      </c>
      <c r="G14" s="5">
        <v>0.19148936170212766</v>
      </c>
      <c r="H14" s="6">
        <v>71</v>
      </c>
      <c r="I14" s="6">
        <v>97</v>
      </c>
      <c r="J14" s="6">
        <v>17</v>
      </c>
      <c r="K14" s="6">
        <v>6</v>
      </c>
      <c r="L14" s="6">
        <v>8</v>
      </c>
      <c r="M14" s="6">
        <f t="shared" si="0"/>
        <v>42.857142857142854</v>
      </c>
      <c r="N14" s="6">
        <v>104</v>
      </c>
      <c r="O14" s="6">
        <v>96</v>
      </c>
      <c r="P14" s="6">
        <f t="shared" si="1"/>
        <v>100</v>
      </c>
      <c r="Q14" s="6">
        <f t="shared" si="2"/>
        <v>34.666666666666671</v>
      </c>
    </row>
    <row r="15" spans="1:17">
      <c r="A15" s="44"/>
      <c r="B15" s="40"/>
      <c r="C15" s="35">
        <v>1</v>
      </c>
      <c r="D15" s="21">
        <v>28</v>
      </c>
      <c r="E15" s="4">
        <v>369</v>
      </c>
      <c r="F15" s="3">
        <v>4.78</v>
      </c>
      <c r="G15" s="5">
        <v>-0.16363636363636364</v>
      </c>
      <c r="H15" s="6">
        <v>122</v>
      </c>
      <c r="I15" s="6">
        <v>112</v>
      </c>
      <c r="J15" s="6">
        <v>24</v>
      </c>
      <c r="K15" s="6">
        <v>5</v>
      </c>
      <c r="L15" s="6">
        <v>12</v>
      </c>
      <c r="M15" s="6">
        <f t="shared" si="0"/>
        <v>29.411764705882355</v>
      </c>
      <c r="N15" s="6">
        <v>63</v>
      </c>
      <c r="O15" s="6">
        <v>112</v>
      </c>
      <c r="P15" s="6">
        <f t="shared" si="1"/>
        <v>125</v>
      </c>
      <c r="Q15" s="6">
        <f t="shared" si="2"/>
        <v>21</v>
      </c>
    </row>
    <row r="16" spans="1:17">
      <c r="A16" s="44"/>
      <c r="B16" s="40"/>
      <c r="C16" s="35">
        <v>1</v>
      </c>
      <c r="D16" s="21">
        <v>29</v>
      </c>
      <c r="E16" s="4">
        <v>361</v>
      </c>
      <c r="F16" s="3">
        <v>3.35</v>
      </c>
      <c r="G16" s="5">
        <v>-0.3559322033898305</v>
      </c>
      <c r="H16" s="6">
        <v>76</v>
      </c>
      <c r="I16" s="6">
        <v>49</v>
      </c>
      <c r="J16" s="6">
        <v>16</v>
      </c>
      <c r="K16" s="6">
        <v>2</v>
      </c>
      <c r="L16" s="6">
        <v>10</v>
      </c>
      <c r="M16" s="6">
        <f t="shared" si="0"/>
        <v>16.666666666666664</v>
      </c>
      <c r="N16" s="6">
        <v>27</v>
      </c>
      <c r="O16" s="6">
        <v>141</v>
      </c>
      <c r="P16" s="6">
        <f t="shared" si="1"/>
        <v>132</v>
      </c>
      <c r="Q16" s="6">
        <f t="shared" si="2"/>
        <v>9</v>
      </c>
    </row>
    <row r="17" spans="1:17">
      <c r="A17" s="44"/>
      <c r="B17" s="40"/>
      <c r="C17" s="35">
        <v>1</v>
      </c>
      <c r="D17" s="21">
        <v>30</v>
      </c>
      <c r="E17" s="4">
        <v>356</v>
      </c>
      <c r="F17" s="3">
        <v>3.88</v>
      </c>
      <c r="G17" s="5">
        <v>0.36842105263157893</v>
      </c>
      <c r="H17" s="6">
        <v>94</v>
      </c>
      <c r="I17" s="6">
        <v>98</v>
      </c>
      <c r="J17" s="6">
        <v>24</v>
      </c>
      <c r="K17" s="6">
        <v>5</v>
      </c>
      <c r="L17" s="6">
        <v>4</v>
      </c>
      <c r="M17" s="6">
        <f t="shared" si="0"/>
        <v>55.555555555555557</v>
      </c>
      <c r="N17" s="6">
        <v>91</v>
      </c>
      <c r="O17" s="6">
        <v>131</v>
      </c>
      <c r="P17" s="6">
        <f t="shared" si="1"/>
        <v>78</v>
      </c>
      <c r="Q17" s="6">
        <f t="shared" si="2"/>
        <v>30.333333333333336</v>
      </c>
    </row>
    <row r="18" spans="1:17">
      <c r="A18" s="44"/>
      <c r="B18" s="40"/>
      <c r="C18" s="35">
        <v>1</v>
      </c>
      <c r="D18" s="21">
        <v>31</v>
      </c>
      <c r="E18" s="4">
        <v>375</v>
      </c>
      <c r="F18" s="3">
        <v>5.38</v>
      </c>
      <c r="G18" s="5">
        <v>-0.19298245614035087</v>
      </c>
      <c r="H18" s="6">
        <v>91</v>
      </c>
      <c r="I18" s="6">
        <v>88</v>
      </c>
      <c r="J18" s="6">
        <v>22</v>
      </c>
      <c r="K18" s="6">
        <v>3</v>
      </c>
      <c r="L18" s="6">
        <v>7</v>
      </c>
      <c r="M18" s="6">
        <f t="shared" si="0"/>
        <v>30</v>
      </c>
      <c r="N18" s="6">
        <v>52</v>
      </c>
      <c r="O18" s="6">
        <v>141</v>
      </c>
      <c r="P18" s="6">
        <f t="shared" si="1"/>
        <v>107</v>
      </c>
      <c r="Q18" s="6">
        <f t="shared" si="2"/>
        <v>17.333333333333336</v>
      </c>
    </row>
    <row r="19" spans="1:17">
      <c r="A19" s="44"/>
      <c r="B19" s="43"/>
      <c r="C19" s="38">
        <v>1</v>
      </c>
      <c r="D19" s="24">
        <v>32</v>
      </c>
      <c r="E19" s="16">
        <v>399</v>
      </c>
      <c r="F19" s="17">
        <v>5.81</v>
      </c>
      <c r="G19" s="18">
        <v>5.6603773584905662E-2</v>
      </c>
      <c r="H19" s="19">
        <v>95</v>
      </c>
      <c r="I19" s="19">
        <v>92</v>
      </c>
      <c r="J19" s="19">
        <v>21</v>
      </c>
      <c r="K19" s="19">
        <v>3</v>
      </c>
      <c r="L19" s="19">
        <v>8</v>
      </c>
      <c r="M19" s="19">
        <f t="shared" si="0"/>
        <v>27.27272727272727</v>
      </c>
      <c r="N19" s="19">
        <v>41</v>
      </c>
      <c r="O19" s="19">
        <v>121</v>
      </c>
      <c r="P19" s="6">
        <f t="shared" si="1"/>
        <v>138</v>
      </c>
      <c r="Q19" s="19">
        <f t="shared" si="2"/>
        <v>13.666666666666666</v>
      </c>
    </row>
    <row r="20" spans="1:17">
      <c r="A20" s="44"/>
      <c r="B20" s="40" t="s">
        <v>20</v>
      </c>
      <c r="C20" s="35">
        <v>1</v>
      </c>
      <c r="D20" s="21">
        <v>33</v>
      </c>
      <c r="E20" s="4">
        <v>374</v>
      </c>
      <c r="F20" s="3">
        <v>11.7</v>
      </c>
      <c r="G20" s="5">
        <v>3.2258064516129031E-2</v>
      </c>
      <c r="H20" s="6">
        <v>94</v>
      </c>
      <c r="I20" s="6">
        <v>103</v>
      </c>
      <c r="J20" s="6">
        <v>23</v>
      </c>
      <c r="K20" s="6">
        <v>4</v>
      </c>
      <c r="L20" s="6">
        <v>6</v>
      </c>
      <c r="M20" s="6">
        <f t="shared" si="0"/>
        <v>40</v>
      </c>
      <c r="N20" s="6">
        <v>60</v>
      </c>
      <c r="O20" s="6">
        <v>109</v>
      </c>
      <c r="P20" s="6">
        <f t="shared" si="1"/>
        <v>131</v>
      </c>
      <c r="Q20" s="6">
        <f t="shared" si="2"/>
        <v>20</v>
      </c>
    </row>
    <row r="21" spans="1:17">
      <c r="A21" s="44"/>
      <c r="B21" s="40"/>
      <c r="C21" s="35">
        <v>1</v>
      </c>
      <c r="D21" s="21">
        <v>34</v>
      </c>
      <c r="E21" s="4">
        <v>374</v>
      </c>
      <c r="F21" s="3">
        <v>11.55</v>
      </c>
      <c r="G21" s="5">
        <v>0.26666666666666666</v>
      </c>
      <c r="H21" s="6">
        <v>92</v>
      </c>
      <c r="I21" s="6">
        <v>62</v>
      </c>
      <c r="J21" s="6">
        <v>26</v>
      </c>
      <c r="K21" s="6">
        <v>3</v>
      </c>
      <c r="L21" s="6">
        <v>6</v>
      </c>
      <c r="M21" s="6">
        <f t="shared" si="0"/>
        <v>33.333333333333329</v>
      </c>
      <c r="N21" s="6">
        <v>52</v>
      </c>
      <c r="O21" s="6">
        <v>153</v>
      </c>
      <c r="P21" s="6">
        <f t="shared" si="1"/>
        <v>95</v>
      </c>
      <c r="Q21" s="6">
        <f t="shared" si="2"/>
        <v>17.333333333333336</v>
      </c>
    </row>
    <row r="22" spans="1:17">
      <c r="A22" s="44"/>
      <c r="B22" s="40"/>
      <c r="C22" s="35">
        <v>1</v>
      </c>
      <c r="D22" s="21">
        <v>35</v>
      </c>
      <c r="E22" s="4">
        <v>410</v>
      </c>
      <c r="F22" s="3">
        <v>17.47</v>
      </c>
      <c r="G22" s="5">
        <v>-0.16</v>
      </c>
      <c r="H22" s="6">
        <v>70</v>
      </c>
      <c r="I22" s="6">
        <v>59</v>
      </c>
      <c r="J22" s="6">
        <v>21</v>
      </c>
      <c r="K22" s="6">
        <v>7</v>
      </c>
      <c r="L22" s="6">
        <v>8</v>
      </c>
      <c r="M22" s="6">
        <f t="shared" si="0"/>
        <v>46.666666666666664</v>
      </c>
      <c r="N22" s="6">
        <v>132</v>
      </c>
      <c r="O22" s="6">
        <v>103</v>
      </c>
      <c r="P22" s="6">
        <f t="shared" si="1"/>
        <v>65</v>
      </c>
      <c r="Q22" s="6">
        <f t="shared" si="2"/>
        <v>44</v>
      </c>
    </row>
    <row r="23" spans="1:17">
      <c r="A23" s="44"/>
      <c r="B23" s="40"/>
      <c r="C23" s="35">
        <v>1</v>
      </c>
      <c r="D23" s="21">
        <v>36</v>
      </c>
      <c r="E23" s="4">
        <v>377</v>
      </c>
      <c r="F23" s="3">
        <v>13.81</v>
      </c>
      <c r="G23" s="5">
        <v>0.36363636363636365</v>
      </c>
      <c r="H23" s="6">
        <v>160</v>
      </c>
      <c r="I23" s="6">
        <v>54</v>
      </c>
      <c r="J23" s="6">
        <v>22</v>
      </c>
      <c r="K23" s="6">
        <v>8</v>
      </c>
      <c r="L23" s="6">
        <v>7</v>
      </c>
      <c r="M23" s="6">
        <f t="shared" si="0"/>
        <v>53.333333333333336</v>
      </c>
      <c r="N23" s="6">
        <v>128</v>
      </c>
      <c r="O23" s="6">
        <v>98</v>
      </c>
      <c r="P23" s="6">
        <f t="shared" si="1"/>
        <v>74</v>
      </c>
      <c r="Q23" s="6">
        <f t="shared" si="2"/>
        <v>42.666666666666671</v>
      </c>
    </row>
    <row r="24" spans="1:17">
      <c r="A24" s="44"/>
      <c r="B24" s="40"/>
      <c r="C24" s="35">
        <v>1</v>
      </c>
      <c r="D24" s="21">
        <v>37</v>
      </c>
      <c r="E24" s="4">
        <v>381</v>
      </c>
      <c r="F24" s="3">
        <v>8.48</v>
      </c>
      <c r="G24" s="5">
        <v>0.26315789473684209</v>
      </c>
      <c r="H24" s="6">
        <v>93</v>
      </c>
      <c r="I24" s="6">
        <v>88</v>
      </c>
      <c r="J24" s="6">
        <v>17</v>
      </c>
      <c r="K24" s="6">
        <v>6</v>
      </c>
      <c r="L24" s="6">
        <v>6</v>
      </c>
      <c r="M24" s="6">
        <f t="shared" si="0"/>
        <v>50</v>
      </c>
      <c r="N24" s="6">
        <v>113</v>
      </c>
      <c r="O24" s="6">
        <v>85</v>
      </c>
      <c r="P24" s="6">
        <f t="shared" si="1"/>
        <v>102</v>
      </c>
      <c r="Q24" s="6">
        <f t="shared" si="2"/>
        <v>37.666666666666664</v>
      </c>
    </row>
    <row r="25" spans="1:17">
      <c r="A25" s="44"/>
      <c r="B25" s="40"/>
      <c r="C25" s="35">
        <v>1</v>
      </c>
      <c r="D25" s="21">
        <v>38</v>
      </c>
      <c r="E25" s="4">
        <v>366</v>
      </c>
      <c r="F25" s="3">
        <v>10.199999999999999</v>
      </c>
      <c r="G25" s="5">
        <v>0.2857142857142857</v>
      </c>
      <c r="H25" s="6">
        <v>128</v>
      </c>
      <c r="I25" s="6">
        <v>66</v>
      </c>
      <c r="J25" s="6">
        <v>19</v>
      </c>
      <c r="K25" s="6">
        <v>4</v>
      </c>
      <c r="L25" s="6">
        <v>5</v>
      </c>
      <c r="M25" s="6">
        <f t="shared" si="0"/>
        <v>44.444444444444443</v>
      </c>
      <c r="N25" s="6">
        <v>191</v>
      </c>
      <c r="O25" s="6">
        <v>68</v>
      </c>
      <c r="P25" s="6">
        <f t="shared" si="1"/>
        <v>41</v>
      </c>
      <c r="Q25" s="6">
        <f>N25/(N25+O25+P25)*100</f>
        <v>63.666666666666671</v>
      </c>
    </row>
    <row r="26" spans="1:17">
      <c r="A26" s="44"/>
      <c r="B26" s="40"/>
      <c r="C26" s="35">
        <v>1</v>
      </c>
      <c r="D26" s="21">
        <v>39</v>
      </c>
      <c r="E26" s="4">
        <v>311</v>
      </c>
      <c r="F26" s="3">
        <v>11.03</v>
      </c>
      <c r="G26" s="5">
        <v>-0.11688311688311688</v>
      </c>
      <c r="H26" s="6">
        <v>85</v>
      </c>
      <c r="I26" s="6">
        <v>80</v>
      </c>
      <c r="J26" s="6">
        <v>24</v>
      </c>
      <c r="K26" s="6">
        <v>4</v>
      </c>
      <c r="L26" s="6">
        <v>7</v>
      </c>
      <c r="M26" s="6">
        <f>K26/(L26+K26)*100</f>
        <v>36.363636363636367</v>
      </c>
      <c r="N26" s="6">
        <v>80</v>
      </c>
      <c r="O26" s="6">
        <v>116</v>
      </c>
      <c r="P26" s="6">
        <f t="shared" si="1"/>
        <v>104</v>
      </c>
      <c r="Q26" s="6">
        <f t="shared" si="2"/>
        <v>26.666666666666668</v>
      </c>
    </row>
    <row r="27" spans="1:17">
      <c r="A27" s="45"/>
      <c r="B27" s="41"/>
      <c r="C27" s="36">
        <v>1</v>
      </c>
      <c r="D27" s="22">
        <v>40</v>
      </c>
      <c r="E27" s="8">
        <v>357</v>
      </c>
      <c r="F27" s="9">
        <v>9.64</v>
      </c>
      <c r="G27" s="10">
        <v>0.70833333333333337</v>
      </c>
      <c r="H27" s="11">
        <v>77</v>
      </c>
      <c r="I27" s="11">
        <v>107</v>
      </c>
      <c r="J27" s="11">
        <v>20</v>
      </c>
      <c r="K27" s="11">
        <v>5</v>
      </c>
      <c r="L27" s="11">
        <v>2</v>
      </c>
      <c r="M27" s="11">
        <f t="shared" si="0"/>
        <v>71.428571428571431</v>
      </c>
      <c r="N27" s="11">
        <v>106</v>
      </c>
      <c r="O27" s="11">
        <v>110</v>
      </c>
      <c r="P27" s="6">
        <f t="shared" si="1"/>
        <v>84</v>
      </c>
      <c r="Q27" s="11">
        <f t="shared" si="2"/>
        <v>35.333333333333336</v>
      </c>
    </row>
  </sheetData>
  <mergeCells count="6">
    <mergeCell ref="A3:B3"/>
    <mergeCell ref="B4:B11"/>
    <mergeCell ref="B12:B19"/>
    <mergeCell ref="B20:B27"/>
    <mergeCell ref="A4:A11"/>
    <mergeCell ref="A1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9CAB-1679-E44E-AE6C-127FA9059D36}">
  <dimension ref="A1:Q27"/>
  <sheetViews>
    <sheetView tabSelected="1" workbookViewId="0">
      <selection activeCell="C29" sqref="C29"/>
    </sheetView>
  </sheetViews>
  <sheetFormatPr defaultColWidth="10.875" defaultRowHeight="15.75" customHeight="1"/>
  <cols>
    <col min="1" max="1" width="20.5" style="2" bestFit="1" customWidth="1"/>
    <col min="2" max="3" width="10.875" style="2"/>
    <col min="4" max="4" width="10.875" style="1"/>
    <col min="5" max="5" width="12" style="3" bestFit="1" customWidth="1"/>
    <col min="6" max="6" width="14.875" style="2" bestFit="1" customWidth="1"/>
    <col min="7" max="7" width="10.875" style="2"/>
    <col min="8" max="8" width="17.375" style="2" bestFit="1" customWidth="1"/>
    <col min="9" max="9" width="21.375" style="2" bestFit="1" customWidth="1"/>
    <col min="10" max="10" width="12.875" style="2" bestFit="1" customWidth="1"/>
    <col min="11" max="12" width="12.875" style="2" customWidth="1"/>
    <col min="13" max="16384" width="10.875" style="2"/>
  </cols>
  <sheetData>
    <row r="1" spans="1:17">
      <c r="A1" s="27" t="s">
        <v>21</v>
      </c>
    </row>
    <row r="2" spans="1:17" s="1" customFormat="1"/>
    <row r="3" spans="1:17" s="1" customFormat="1">
      <c r="A3" s="39" t="s">
        <v>1</v>
      </c>
      <c r="B3" s="39"/>
      <c r="C3" s="20" t="s">
        <v>2</v>
      </c>
      <c r="D3" s="20" t="s">
        <v>3</v>
      </c>
      <c r="E3" s="25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</row>
    <row r="4" spans="1:17">
      <c r="A4" s="44" t="s">
        <v>17</v>
      </c>
      <c r="B4" s="40" t="s">
        <v>17</v>
      </c>
      <c r="C4" s="35">
        <v>0</v>
      </c>
      <c r="D4" s="21">
        <v>9</v>
      </c>
      <c r="E4" s="6">
        <v>200</v>
      </c>
      <c r="F4" s="6">
        <v>11.42</v>
      </c>
      <c r="G4" s="5">
        <v>0.51162790697674421</v>
      </c>
      <c r="H4" s="15">
        <v>117</v>
      </c>
      <c r="I4" s="6">
        <v>96</v>
      </c>
      <c r="J4" s="6">
        <v>26</v>
      </c>
      <c r="K4" s="6">
        <v>4</v>
      </c>
      <c r="L4" s="6">
        <v>12</v>
      </c>
      <c r="M4" s="29">
        <f>K4/(L4+K4)*100</f>
        <v>25</v>
      </c>
      <c r="N4" s="6">
        <v>53</v>
      </c>
      <c r="O4" s="6">
        <v>150</v>
      </c>
      <c r="P4" s="6">
        <f>300-N4-O4</f>
        <v>97</v>
      </c>
      <c r="Q4" s="29">
        <f>N4/(N4+O4+P4)*100</f>
        <v>17.666666666666668</v>
      </c>
    </row>
    <row r="5" spans="1:17">
      <c r="A5" s="44"/>
      <c r="B5" s="40"/>
      <c r="C5" s="35">
        <v>0</v>
      </c>
      <c r="D5" s="21">
        <v>10</v>
      </c>
      <c r="E5" s="6">
        <v>241</v>
      </c>
      <c r="F5" s="6">
        <v>18.41</v>
      </c>
      <c r="G5" s="5">
        <v>0.2558139534883721</v>
      </c>
      <c r="H5" s="6">
        <v>147</v>
      </c>
      <c r="I5" s="6">
        <v>73</v>
      </c>
      <c r="J5" s="6">
        <v>24</v>
      </c>
      <c r="K5" s="6">
        <v>10</v>
      </c>
      <c r="L5" s="6">
        <v>4</v>
      </c>
      <c r="M5" s="29">
        <f t="shared" ref="M5:M27" si="0">K5/(L5+K5)*100</f>
        <v>71.428571428571431</v>
      </c>
      <c r="N5" s="6">
        <v>194</v>
      </c>
      <c r="O5" s="6">
        <v>61</v>
      </c>
      <c r="P5" s="6">
        <f t="shared" ref="P5:P27" si="1">300-N5-O5</f>
        <v>45</v>
      </c>
      <c r="Q5" s="29">
        <f t="shared" ref="Q5:Q27" si="2">N5/(N5+O5+P5)*100</f>
        <v>64.666666666666657</v>
      </c>
    </row>
    <row r="6" spans="1:17">
      <c r="A6" s="44"/>
      <c r="B6" s="40"/>
      <c r="C6" s="35">
        <v>0</v>
      </c>
      <c r="D6" s="21">
        <v>11</v>
      </c>
      <c r="E6" s="6">
        <v>230</v>
      </c>
      <c r="F6" s="6">
        <v>17.09</v>
      </c>
      <c r="G6" s="5">
        <v>0.56756756756756754</v>
      </c>
      <c r="H6" s="6">
        <v>118</v>
      </c>
      <c r="I6" s="6">
        <v>59</v>
      </c>
      <c r="J6" s="6">
        <v>19</v>
      </c>
      <c r="K6" s="6">
        <v>8</v>
      </c>
      <c r="L6" s="6">
        <v>7</v>
      </c>
      <c r="M6" s="29">
        <f t="shared" si="0"/>
        <v>53.333333333333336</v>
      </c>
      <c r="N6" s="6">
        <v>118</v>
      </c>
      <c r="O6" s="6">
        <v>106</v>
      </c>
      <c r="P6" s="6">
        <f t="shared" si="1"/>
        <v>76</v>
      </c>
      <c r="Q6" s="29">
        <f t="shared" si="2"/>
        <v>39.333333333333329</v>
      </c>
    </row>
    <row r="7" spans="1:17">
      <c r="A7" s="44"/>
      <c r="B7" s="40"/>
      <c r="C7" s="35">
        <v>0</v>
      </c>
      <c r="D7" s="21">
        <v>12</v>
      </c>
      <c r="E7" s="6">
        <v>212</v>
      </c>
      <c r="F7" s="6">
        <v>18.73</v>
      </c>
      <c r="G7" s="5">
        <v>-4.3478260869565216E-2</v>
      </c>
      <c r="H7" s="6">
        <v>102</v>
      </c>
      <c r="I7" s="6">
        <v>54</v>
      </c>
      <c r="J7" s="6">
        <v>26</v>
      </c>
      <c r="K7" s="6">
        <v>5</v>
      </c>
      <c r="L7" s="6">
        <v>7</v>
      </c>
      <c r="M7" s="29">
        <f t="shared" si="0"/>
        <v>41.666666666666671</v>
      </c>
      <c r="N7" s="6">
        <v>80</v>
      </c>
      <c r="O7" s="6">
        <v>132</v>
      </c>
      <c r="P7" s="6">
        <f t="shared" si="1"/>
        <v>88</v>
      </c>
      <c r="Q7" s="29">
        <f t="shared" si="2"/>
        <v>26.666666666666668</v>
      </c>
    </row>
    <row r="8" spans="1:17">
      <c r="A8" s="44"/>
      <c r="B8" s="40"/>
      <c r="C8" s="35">
        <v>0</v>
      </c>
      <c r="D8" s="21">
        <v>13</v>
      </c>
      <c r="E8" s="6">
        <v>238</v>
      </c>
      <c r="F8" s="6">
        <v>12.06</v>
      </c>
      <c r="G8" s="5">
        <v>0.63636363636363635</v>
      </c>
      <c r="H8" s="6">
        <v>118</v>
      </c>
      <c r="I8" s="6">
        <v>97</v>
      </c>
      <c r="J8" s="6">
        <v>24</v>
      </c>
      <c r="K8" s="6">
        <v>8</v>
      </c>
      <c r="L8" s="6">
        <v>6</v>
      </c>
      <c r="M8" s="29">
        <f t="shared" si="0"/>
        <v>57.142857142857139</v>
      </c>
      <c r="N8" s="6">
        <v>83</v>
      </c>
      <c r="O8" s="6">
        <v>135</v>
      </c>
      <c r="P8" s="6">
        <f t="shared" si="1"/>
        <v>82</v>
      </c>
      <c r="Q8" s="29">
        <f t="shared" si="2"/>
        <v>27.666666666666668</v>
      </c>
    </row>
    <row r="9" spans="1:17">
      <c r="A9" s="44"/>
      <c r="B9" s="40"/>
      <c r="C9" s="35">
        <v>0</v>
      </c>
      <c r="D9" s="21">
        <v>14</v>
      </c>
      <c r="E9" s="6">
        <v>198</v>
      </c>
      <c r="F9" s="6">
        <v>16.87</v>
      </c>
      <c r="G9" s="5">
        <v>0.12280701754385964</v>
      </c>
      <c r="H9" s="6">
        <v>141</v>
      </c>
      <c r="I9" s="6">
        <v>78</v>
      </c>
      <c r="J9" s="6">
        <v>29</v>
      </c>
      <c r="K9" s="6">
        <v>11</v>
      </c>
      <c r="L9" s="6">
        <v>8</v>
      </c>
      <c r="M9" s="29">
        <f t="shared" si="0"/>
        <v>57.894736842105267</v>
      </c>
      <c r="N9" s="6">
        <v>167</v>
      </c>
      <c r="O9" s="6">
        <v>90</v>
      </c>
      <c r="P9" s="6">
        <f t="shared" si="1"/>
        <v>43</v>
      </c>
      <c r="Q9" s="29">
        <f t="shared" si="2"/>
        <v>55.666666666666664</v>
      </c>
    </row>
    <row r="10" spans="1:17">
      <c r="A10" s="44"/>
      <c r="B10" s="40"/>
      <c r="C10" s="35">
        <v>0</v>
      </c>
      <c r="D10" s="21">
        <v>15</v>
      </c>
      <c r="E10" s="33">
        <v>209</v>
      </c>
      <c r="F10" s="6">
        <v>17.41</v>
      </c>
      <c r="G10" s="5">
        <v>0.69411764705882351</v>
      </c>
      <c r="H10" s="6">
        <v>161</v>
      </c>
      <c r="I10" s="6">
        <v>102</v>
      </c>
      <c r="J10" s="6">
        <v>30</v>
      </c>
      <c r="K10" s="6">
        <v>10</v>
      </c>
      <c r="L10" s="6">
        <v>5</v>
      </c>
      <c r="M10" s="29">
        <f t="shared" si="0"/>
        <v>66.666666666666657</v>
      </c>
      <c r="N10" s="6">
        <v>132</v>
      </c>
      <c r="O10" s="6">
        <v>53</v>
      </c>
      <c r="P10" s="6">
        <f t="shared" si="1"/>
        <v>115</v>
      </c>
      <c r="Q10" s="29">
        <f t="shared" si="2"/>
        <v>44</v>
      </c>
    </row>
    <row r="11" spans="1:17">
      <c r="A11" s="45"/>
      <c r="B11" s="41"/>
      <c r="C11" s="36">
        <v>0</v>
      </c>
      <c r="D11" s="22">
        <v>16</v>
      </c>
      <c r="E11" s="34">
        <v>214</v>
      </c>
      <c r="F11" s="11">
        <v>16.03</v>
      </c>
      <c r="G11" s="10">
        <v>-0.1</v>
      </c>
      <c r="H11" s="19">
        <v>132</v>
      </c>
      <c r="I11" s="11">
        <v>87</v>
      </c>
      <c r="J11" s="11">
        <v>35</v>
      </c>
      <c r="K11" s="11">
        <v>9</v>
      </c>
      <c r="L11" s="11">
        <v>9</v>
      </c>
      <c r="M11" s="30">
        <f t="shared" si="0"/>
        <v>50</v>
      </c>
      <c r="N11" s="11">
        <v>118</v>
      </c>
      <c r="O11" s="11">
        <v>118</v>
      </c>
      <c r="P11" s="11">
        <f t="shared" si="1"/>
        <v>64</v>
      </c>
      <c r="Q11" s="30">
        <f t="shared" si="2"/>
        <v>39.333333333333329</v>
      </c>
    </row>
    <row r="12" spans="1:17">
      <c r="A12" s="46" t="s">
        <v>18</v>
      </c>
      <c r="B12" s="42" t="s">
        <v>19</v>
      </c>
      <c r="C12" s="37">
        <v>1</v>
      </c>
      <c r="D12" s="23">
        <v>25</v>
      </c>
      <c r="E12" s="6">
        <v>224</v>
      </c>
      <c r="F12" s="6">
        <v>5.91</v>
      </c>
      <c r="G12" s="14">
        <v>-3.0303030303030304E-2</v>
      </c>
      <c r="H12" s="15">
        <v>115</v>
      </c>
      <c r="I12" s="15">
        <v>81</v>
      </c>
      <c r="J12" s="15">
        <v>22</v>
      </c>
      <c r="K12" s="15">
        <v>6</v>
      </c>
      <c r="L12" s="6">
        <v>8</v>
      </c>
      <c r="M12" s="29">
        <f t="shared" si="0"/>
        <v>42.857142857142854</v>
      </c>
      <c r="N12" s="6">
        <v>67</v>
      </c>
      <c r="O12" s="6">
        <v>133</v>
      </c>
      <c r="P12" s="6">
        <f t="shared" si="1"/>
        <v>100</v>
      </c>
      <c r="Q12" s="29">
        <f t="shared" si="2"/>
        <v>22.333333333333332</v>
      </c>
    </row>
    <row r="13" spans="1:17">
      <c r="A13" s="44"/>
      <c r="B13" s="40"/>
      <c r="C13" s="35">
        <v>1</v>
      </c>
      <c r="D13" s="21">
        <v>26</v>
      </c>
      <c r="E13" s="6">
        <v>243</v>
      </c>
      <c r="F13" s="6">
        <v>6.29</v>
      </c>
      <c r="G13" s="5">
        <v>0</v>
      </c>
      <c r="H13" s="6">
        <v>74</v>
      </c>
      <c r="I13" s="6">
        <v>100</v>
      </c>
      <c r="J13" s="6">
        <v>30</v>
      </c>
      <c r="K13" s="6">
        <v>6</v>
      </c>
      <c r="L13" s="6">
        <v>9</v>
      </c>
      <c r="M13" s="29">
        <f t="shared" si="0"/>
        <v>40</v>
      </c>
      <c r="N13" s="6">
        <v>88</v>
      </c>
      <c r="O13" s="6">
        <v>157</v>
      </c>
      <c r="P13" s="6">
        <f t="shared" si="1"/>
        <v>55</v>
      </c>
      <c r="Q13" s="29">
        <f t="shared" si="2"/>
        <v>29.333333333333332</v>
      </c>
    </row>
    <row r="14" spans="1:17">
      <c r="A14" s="44"/>
      <c r="B14" s="40"/>
      <c r="C14" s="35">
        <v>1</v>
      </c>
      <c r="D14" s="21">
        <v>27</v>
      </c>
      <c r="E14" s="6">
        <v>205</v>
      </c>
      <c r="F14" s="6">
        <v>10.58</v>
      </c>
      <c r="G14" s="5">
        <v>0.26315789473684209</v>
      </c>
      <c r="H14" s="6">
        <v>131</v>
      </c>
      <c r="I14" s="6">
        <v>140</v>
      </c>
      <c r="J14" s="6">
        <v>28</v>
      </c>
      <c r="K14" s="6">
        <v>5</v>
      </c>
      <c r="L14" s="6">
        <v>6</v>
      </c>
      <c r="M14" s="29">
        <f t="shared" si="0"/>
        <v>45.454545454545453</v>
      </c>
      <c r="N14" s="6">
        <v>87</v>
      </c>
      <c r="O14" s="6">
        <v>119</v>
      </c>
      <c r="P14" s="6">
        <f t="shared" si="1"/>
        <v>94</v>
      </c>
      <c r="Q14" s="29">
        <f t="shared" si="2"/>
        <v>28.999999999999996</v>
      </c>
    </row>
    <row r="15" spans="1:17">
      <c r="A15" s="44"/>
      <c r="B15" s="40"/>
      <c r="C15" s="35">
        <v>1</v>
      </c>
      <c r="D15" s="21">
        <v>28</v>
      </c>
      <c r="E15" s="6">
        <v>219</v>
      </c>
      <c r="F15" s="6">
        <v>3.39</v>
      </c>
      <c r="G15" s="5">
        <v>-0.24444444444444444</v>
      </c>
      <c r="H15" s="6">
        <v>167</v>
      </c>
      <c r="I15" s="6">
        <v>61</v>
      </c>
      <c r="J15" s="6">
        <v>23</v>
      </c>
      <c r="K15" s="6">
        <v>4</v>
      </c>
      <c r="L15" s="6">
        <v>7</v>
      </c>
      <c r="M15" s="29">
        <f t="shared" si="0"/>
        <v>36.363636363636367</v>
      </c>
      <c r="N15" s="6">
        <v>90</v>
      </c>
      <c r="O15" s="6">
        <v>149</v>
      </c>
      <c r="P15" s="6">
        <f t="shared" si="1"/>
        <v>61</v>
      </c>
      <c r="Q15" s="29">
        <f t="shared" si="2"/>
        <v>30</v>
      </c>
    </row>
    <row r="16" spans="1:17">
      <c r="A16" s="44"/>
      <c r="B16" s="40"/>
      <c r="C16" s="35">
        <v>1</v>
      </c>
      <c r="D16" s="21">
        <v>29</v>
      </c>
      <c r="E16" s="6">
        <v>220</v>
      </c>
      <c r="F16" s="6">
        <v>2.92</v>
      </c>
      <c r="G16" s="5">
        <v>-0.17647058823529413</v>
      </c>
      <c r="H16" s="6">
        <v>80</v>
      </c>
      <c r="I16" s="6">
        <v>81</v>
      </c>
      <c r="J16" s="6">
        <v>19</v>
      </c>
      <c r="K16" s="6">
        <v>6</v>
      </c>
      <c r="L16" s="6">
        <v>8</v>
      </c>
      <c r="M16" s="29">
        <f t="shared" si="0"/>
        <v>42.857142857142854</v>
      </c>
      <c r="N16" s="6">
        <v>82</v>
      </c>
      <c r="O16" s="6">
        <v>119</v>
      </c>
      <c r="P16" s="6">
        <f t="shared" si="1"/>
        <v>99</v>
      </c>
      <c r="Q16" s="29">
        <f t="shared" si="2"/>
        <v>27.333333333333332</v>
      </c>
    </row>
    <row r="17" spans="1:17">
      <c r="A17" s="44"/>
      <c r="B17" s="40"/>
      <c r="C17" s="35">
        <v>1</v>
      </c>
      <c r="D17" s="21">
        <v>30</v>
      </c>
      <c r="E17" s="6">
        <v>227</v>
      </c>
      <c r="F17" s="6">
        <v>11.81</v>
      </c>
      <c r="G17" s="5">
        <v>0.1076923076923077</v>
      </c>
      <c r="H17" s="6">
        <v>133</v>
      </c>
      <c r="I17" s="6">
        <v>92</v>
      </c>
      <c r="J17" s="6">
        <v>26</v>
      </c>
      <c r="K17" s="6">
        <v>6</v>
      </c>
      <c r="L17" s="6">
        <v>9</v>
      </c>
      <c r="M17" s="29">
        <f t="shared" si="0"/>
        <v>40</v>
      </c>
      <c r="N17" s="6">
        <v>81</v>
      </c>
      <c r="O17" s="6">
        <v>156</v>
      </c>
      <c r="P17" s="6">
        <f t="shared" si="1"/>
        <v>63</v>
      </c>
      <c r="Q17" s="29">
        <f t="shared" si="2"/>
        <v>27</v>
      </c>
    </row>
    <row r="18" spans="1:17">
      <c r="A18" s="44"/>
      <c r="B18" s="40"/>
      <c r="C18" s="35">
        <v>1</v>
      </c>
      <c r="D18" s="21">
        <v>31</v>
      </c>
      <c r="E18" s="6">
        <v>213</v>
      </c>
      <c r="F18" s="6">
        <v>11.22</v>
      </c>
      <c r="G18" s="5">
        <v>-1.7543859649122806E-2</v>
      </c>
      <c r="H18" s="6">
        <v>107</v>
      </c>
      <c r="I18" s="6">
        <v>107</v>
      </c>
      <c r="J18" s="6">
        <v>24</v>
      </c>
      <c r="K18" s="6">
        <v>6</v>
      </c>
      <c r="L18" s="6">
        <v>8</v>
      </c>
      <c r="M18" s="29">
        <f t="shared" si="0"/>
        <v>42.857142857142854</v>
      </c>
      <c r="N18" s="6">
        <v>82</v>
      </c>
      <c r="O18" s="6">
        <v>101</v>
      </c>
      <c r="P18" s="6">
        <f>300-N18-O18</f>
        <v>117</v>
      </c>
      <c r="Q18" s="29">
        <f t="shared" si="2"/>
        <v>27.333333333333332</v>
      </c>
    </row>
    <row r="19" spans="1:17">
      <c r="A19" s="44"/>
      <c r="B19" s="43"/>
      <c r="C19" s="38">
        <v>1</v>
      </c>
      <c r="D19" s="24">
        <v>32</v>
      </c>
      <c r="E19" s="32">
        <v>218</v>
      </c>
      <c r="F19" s="19">
        <v>8.67</v>
      </c>
      <c r="G19" s="18">
        <v>-0.15625</v>
      </c>
      <c r="H19" s="19">
        <v>136</v>
      </c>
      <c r="I19" s="19">
        <v>125</v>
      </c>
      <c r="J19" s="19">
        <v>34</v>
      </c>
      <c r="K19" s="19">
        <v>6</v>
      </c>
      <c r="L19" s="19">
        <v>5</v>
      </c>
      <c r="M19" s="31">
        <f t="shared" si="0"/>
        <v>54.54545454545454</v>
      </c>
      <c r="N19" s="19">
        <v>103</v>
      </c>
      <c r="O19" s="19">
        <v>129</v>
      </c>
      <c r="P19" s="19">
        <f t="shared" si="1"/>
        <v>68</v>
      </c>
      <c r="Q19" s="31">
        <f t="shared" si="2"/>
        <v>34.333333333333336</v>
      </c>
    </row>
    <row r="20" spans="1:17">
      <c r="A20" s="44"/>
      <c r="B20" s="40" t="s">
        <v>20</v>
      </c>
      <c r="C20" s="35">
        <v>1</v>
      </c>
      <c r="D20" s="21">
        <v>33</v>
      </c>
      <c r="E20" s="6">
        <v>233</v>
      </c>
      <c r="F20" s="6">
        <v>12.48</v>
      </c>
      <c r="G20" s="5">
        <v>0.38461538461538464</v>
      </c>
      <c r="H20" s="6">
        <v>100</v>
      </c>
      <c r="I20" s="6">
        <v>109</v>
      </c>
      <c r="J20" s="6">
        <v>23</v>
      </c>
      <c r="K20" s="6">
        <v>6</v>
      </c>
      <c r="L20" s="6">
        <v>11</v>
      </c>
      <c r="M20" s="29">
        <f t="shared" si="0"/>
        <v>35.294117647058826</v>
      </c>
      <c r="N20" s="6">
        <v>47</v>
      </c>
      <c r="O20" s="6">
        <v>155</v>
      </c>
      <c r="P20" s="6">
        <f t="shared" si="1"/>
        <v>98</v>
      </c>
      <c r="Q20" s="29">
        <f t="shared" si="2"/>
        <v>15.666666666666668</v>
      </c>
    </row>
    <row r="21" spans="1:17">
      <c r="A21" s="44"/>
      <c r="B21" s="40"/>
      <c r="C21" s="35">
        <v>1</v>
      </c>
      <c r="D21" s="21">
        <v>34</v>
      </c>
      <c r="E21" s="6">
        <v>232</v>
      </c>
      <c r="F21" s="6">
        <v>15.85</v>
      </c>
      <c r="G21" s="5">
        <v>3.2258064516129031E-2</v>
      </c>
      <c r="H21" s="6">
        <v>127</v>
      </c>
      <c r="I21" s="6">
        <v>79</v>
      </c>
      <c r="J21" s="6">
        <v>28</v>
      </c>
      <c r="K21" s="6">
        <v>8</v>
      </c>
      <c r="L21" s="6">
        <v>9</v>
      </c>
      <c r="M21" s="29">
        <f t="shared" si="0"/>
        <v>47.058823529411761</v>
      </c>
      <c r="N21" s="6">
        <v>129</v>
      </c>
      <c r="O21" s="6">
        <v>117</v>
      </c>
      <c r="P21" s="6">
        <f t="shared" si="1"/>
        <v>54</v>
      </c>
      <c r="Q21" s="29">
        <f t="shared" si="2"/>
        <v>43</v>
      </c>
    </row>
    <row r="22" spans="1:17">
      <c r="A22" s="44"/>
      <c r="B22" s="40"/>
      <c r="C22" s="35">
        <v>1</v>
      </c>
      <c r="D22" s="21">
        <v>35</v>
      </c>
      <c r="E22" s="6">
        <v>231</v>
      </c>
      <c r="F22" s="6">
        <v>20.16</v>
      </c>
      <c r="G22" s="5">
        <v>0.20588235294117646</v>
      </c>
      <c r="H22" s="6">
        <v>111</v>
      </c>
      <c r="I22" s="6">
        <v>97</v>
      </c>
      <c r="J22" s="6">
        <v>24</v>
      </c>
      <c r="K22" s="6">
        <v>9</v>
      </c>
      <c r="L22" s="6">
        <v>6</v>
      </c>
      <c r="M22" s="29">
        <f t="shared" si="0"/>
        <v>60</v>
      </c>
      <c r="N22" s="6">
        <v>184</v>
      </c>
      <c r="O22" s="6">
        <v>57</v>
      </c>
      <c r="P22" s="6">
        <f t="shared" si="1"/>
        <v>59</v>
      </c>
      <c r="Q22" s="29">
        <f t="shared" si="2"/>
        <v>61.333333333333329</v>
      </c>
    </row>
    <row r="23" spans="1:17">
      <c r="A23" s="44"/>
      <c r="B23" s="40"/>
      <c r="C23" s="35">
        <v>1</v>
      </c>
      <c r="D23" s="21">
        <v>36</v>
      </c>
      <c r="E23" s="6">
        <v>235</v>
      </c>
      <c r="F23" s="6">
        <v>15.46</v>
      </c>
      <c r="G23" s="5">
        <v>0.15789473684210525</v>
      </c>
      <c r="H23" s="6">
        <v>101</v>
      </c>
      <c r="I23" s="6">
        <v>69</v>
      </c>
      <c r="J23" s="6">
        <v>20</v>
      </c>
      <c r="K23" s="6">
        <v>5</v>
      </c>
      <c r="L23" s="6">
        <v>5</v>
      </c>
      <c r="M23" s="29">
        <f t="shared" si="0"/>
        <v>50</v>
      </c>
      <c r="N23" s="6">
        <v>81</v>
      </c>
      <c r="O23" s="6">
        <v>140</v>
      </c>
      <c r="P23" s="6">
        <f t="shared" si="1"/>
        <v>79</v>
      </c>
      <c r="Q23" s="29">
        <f t="shared" si="2"/>
        <v>27</v>
      </c>
    </row>
    <row r="24" spans="1:17">
      <c r="A24" s="44"/>
      <c r="B24" s="40"/>
      <c r="C24" s="35">
        <v>1</v>
      </c>
      <c r="D24" s="21">
        <v>37</v>
      </c>
      <c r="E24" s="6">
        <v>227</v>
      </c>
      <c r="F24" s="6">
        <v>13.75</v>
      </c>
      <c r="G24" s="5">
        <v>0.25</v>
      </c>
      <c r="H24" s="6">
        <v>105</v>
      </c>
      <c r="I24" s="6">
        <v>88</v>
      </c>
      <c r="J24" s="6">
        <v>19</v>
      </c>
      <c r="K24" s="6">
        <v>5</v>
      </c>
      <c r="L24" s="6">
        <v>7</v>
      </c>
      <c r="M24" s="29">
        <f t="shared" si="0"/>
        <v>41.666666666666671</v>
      </c>
      <c r="N24" s="6">
        <v>65</v>
      </c>
      <c r="O24" s="6">
        <v>114</v>
      </c>
      <c r="P24" s="6">
        <f t="shared" si="1"/>
        <v>121</v>
      </c>
      <c r="Q24" s="29">
        <f t="shared" si="2"/>
        <v>21.666666666666668</v>
      </c>
    </row>
    <row r="25" spans="1:17">
      <c r="A25" s="44"/>
      <c r="B25" s="40"/>
      <c r="C25" s="35">
        <v>1</v>
      </c>
      <c r="D25" s="21">
        <v>38</v>
      </c>
      <c r="E25" s="6">
        <v>215</v>
      </c>
      <c r="F25" s="6">
        <v>9.24</v>
      </c>
      <c r="G25" s="5">
        <v>0.2558139534883721</v>
      </c>
      <c r="H25" s="6">
        <v>108</v>
      </c>
      <c r="I25" s="6">
        <v>113</v>
      </c>
      <c r="J25" s="6">
        <v>31</v>
      </c>
      <c r="K25" s="6">
        <v>6</v>
      </c>
      <c r="L25" s="6">
        <v>8</v>
      </c>
      <c r="M25" s="29">
        <f t="shared" si="0"/>
        <v>42.857142857142854</v>
      </c>
      <c r="N25" s="6">
        <v>135</v>
      </c>
      <c r="O25" s="6">
        <v>101</v>
      </c>
      <c r="P25" s="6">
        <f t="shared" si="1"/>
        <v>64</v>
      </c>
      <c r="Q25" s="29">
        <f t="shared" si="2"/>
        <v>45</v>
      </c>
    </row>
    <row r="26" spans="1:17">
      <c r="A26" s="44"/>
      <c r="B26" s="40"/>
      <c r="C26" s="35">
        <v>1</v>
      </c>
      <c r="D26" s="21">
        <v>39</v>
      </c>
      <c r="E26" s="33">
        <v>235</v>
      </c>
      <c r="F26" s="6">
        <v>14.97</v>
      </c>
      <c r="G26" s="5">
        <v>0.23076923076923078</v>
      </c>
      <c r="H26" s="6">
        <v>139</v>
      </c>
      <c r="I26" s="6">
        <v>113</v>
      </c>
      <c r="J26" s="6">
        <v>26</v>
      </c>
      <c r="K26" s="6">
        <v>8</v>
      </c>
      <c r="L26" s="6">
        <v>11</v>
      </c>
      <c r="M26" s="29">
        <f t="shared" si="0"/>
        <v>42.105263157894733</v>
      </c>
      <c r="N26" s="6">
        <v>91</v>
      </c>
      <c r="O26" s="6">
        <v>113</v>
      </c>
      <c r="P26" s="6">
        <f t="shared" si="1"/>
        <v>96</v>
      </c>
      <c r="Q26" s="29">
        <f t="shared" si="2"/>
        <v>30.333333333333336</v>
      </c>
    </row>
    <row r="27" spans="1:17">
      <c r="A27" s="45"/>
      <c r="B27" s="41"/>
      <c r="C27" s="36">
        <v>1</v>
      </c>
      <c r="D27" s="22">
        <v>40</v>
      </c>
      <c r="E27" s="34">
        <v>231</v>
      </c>
      <c r="F27" s="11">
        <v>18.63</v>
      </c>
      <c r="G27" s="10">
        <v>0.22388059701492538</v>
      </c>
      <c r="H27" s="11">
        <v>99</v>
      </c>
      <c r="I27" s="11">
        <v>108</v>
      </c>
      <c r="J27" s="11">
        <v>22</v>
      </c>
      <c r="K27" s="11">
        <v>9</v>
      </c>
      <c r="L27" s="11">
        <v>6</v>
      </c>
      <c r="M27" s="30">
        <f t="shared" si="0"/>
        <v>60</v>
      </c>
      <c r="N27" s="11">
        <v>101</v>
      </c>
      <c r="O27" s="11">
        <v>129</v>
      </c>
      <c r="P27" s="11">
        <f t="shared" si="1"/>
        <v>70</v>
      </c>
      <c r="Q27" s="30">
        <f t="shared" si="2"/>
        <v>33.666666666666664</v>
      </c>
    </row>
  </sheetData>
  <mergeCells count="6">
    <mergeCell ref="A3:B3"/>
    <mergeCell ref="A4:A11"/>
    <mergeCell ref="B4:B11"/>
    <mergeCell ref="A12:A27"/>
    <mergeCell ref="B12:B19"/>
    <mergeCell ref="B20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Brivio</dc:creator>
  <cp:keywords/>
  <dc:description/>
  <cp:lastModifiedBy/>
  <cp:revision/>
  <dcterms:created xsi:type="dcterms:W3CDTF">2024-05-17T12:37:24Z</dcterms:created>
  <dcterms:modified xsi:type="dcterms:W3CDTF">2025-03-14T10:31:47Z</dcterms:modified>
  <cp:category/>
  <cp:contentStatus/>
</cp:coreProperties>
</file>